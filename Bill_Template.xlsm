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fd417de3ee9fbbb/Desktop/AppKhoNhieuLoc/"/>
    </mc:Choice>
  </mc:AlternateContent>
  <xr:revisionPtr revIDLastSave="5" documentId="13_ncr:1_{946B172F-6CCA-4374-A2EB-8087A72EA864}" xr6:coauthVersionLast="47" xr6:coauthVersionMax="47" xr10:uidLastSave="{4B8B8E5C-8EE8-4370-96A1-61D24ECB4B96}"/>
  <bookViews>
    <workbookView xWindow="-120" yWindow="-120" windowWidth="20730" windowHeight="11160" firstSheet="1" activeTab="1" xr2:uid="{418454A4-DFBE-4ABC-86B7-218ED192032E}"/>
  </bookViews>
  <sheets>
    <sheet name="change" sheetId="2" state="hidden" r:id="rId1"/>
    <sheet name="INHOADON" sheetId="1" r:id="rId2"/>
  </sheets>
  <externalReferences>
    <externalReference r:id="rId3"/>
  </externalReferences>
  <definedNames>
    <definedName name="BS_CotB">'[1]Ban Si'!$B$4:$B$20</definedName>
    <definedName name="BS_CX">'[1]Ban Si'!$C$4:$C$20</definedName>
    <definedName name="BS_MaHang">'[1]Ban Si'!$H$4:$H$20</definedName>
    <definedName name="BS_Thung">'[1]Ban Si'!$K$4:$K$20</definedName>
    <definedName name="BS_ViTri">'[1]Ban Si'!$Q$4:$Q$20</definedName>
    <definedName name="Le_CX">[1]Le!$C$37671:$C$62666</definedName>
    <definedName name="Le_Ma">[1]Le!$H$37671:$H$62666</definedName>
    <definedName name="Le_SL">[1]Le!$J$37671:$J$62666</definedName>
    <definedName name="Le_VT">[1]Le!$Q$37671:$Q$62666</definedName>
    <definedName name="MAHANG">#REF!</definedName>
    <definedName name="Nhap_MaHang">'[1]Nhap vi tri'!$A$3:$A$6000</definedName>
    <definedName name="Nhap_SoLuong">'[1]Nhap vi tri'!$B$3:$B$6000</definedName>
    <definedName name="Nhap_ViTri">'[1]Nhap vi tri'!$C$3:$C$6000</definedName>
    <definedName name="_xlnm.Print_Area" localSheetId="1">INHOADON!$A$1:$H$22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M9" i="2" l="1"/>
  <c r="H9" i="2"/>
  <c r="C9" i="2"/>
  <c r="G15" i="1"/>
  <c r="B1" i="2" s="1"/>
  <c r="A8" i="2" s="1"/>
  <c r="B8" i="2" s="1"/>
  <c r="N9" i="2" s="1"/>
  <c r="N11" i="2" s="1"/>
  <c r="E15" i="1"/>
  <c r="D15" i="1"/>
  <c r="G9" i="2" l="1"/>
  <c r="L9" i="2"/>
  <c r="F9" i="2"/>
  <c r="K9" i="2"/>
  <c r="E9" i="2"/>
  <c r="J9" i="2"/>
  <c r="D9" i="2"/>
  <c r="E10" i="2" s="1"/>
  <c r="E12" i="2" s="1"/>
  <c r="I9" i="2"/>
  <c r="C12" i="2"/>
  <c r="C11" i="2"/>
  <c r="C10" i="2"/>
  <c r="H11" i="2"/>
  <c r="M12" i="2"/>
  <c r="M11" i="2"/>
  <c r="G12" i="2"/>
  <c r="G11" i="2"/>
  <c r="N10" i="2"/>
  <c r="M10" i="2"/>
  <c r="L12" i="2"/>
  <c r="L11" i="2"/>
  <c r="L10" i="2"/>
  <c r="F12" i="2"/>
  <c r="F11" i="2"/>
  <c r="F10" i="2"/>
  <c r="H10" i="2"/>
  <c r="H12" i="2" s="1"/>
  <c r="G10" i="2"/>
  <c r="K11" i="2"/>
  <c r="E11" i="2"/>
  <c r="J12" i="2"/>
  <c r="J11" i="2"/>
  <c r="D12" i="2"/>
  <c r="D11" i="2"/>
  <c r="J10" i="2"/>
  <c r="I12" i="2"/>
  <c r="I11" i="2"/>
  <c r="I10" i="2"/>
  <c r="K10" i="2"/>
  <c r="K12" i="2" s="1"/>
  <c r="D10" i="2" l="1"/>
  <c r="B13" i="2"/>
  <c r="B3" i="2" l="1"/>
  <c r="C16" i="1" s="1"/>
  <c r="B2" i="2"/>
</calcChain>
</file>

<file path=xl/sharedStrings.xml><?xml version="1.0" encoding="utf-8"?>
<sst xmlns="http://schemas.openxmlformats.org/spreadsheetml/2006/main" count="45" uniqueCount="16">
  <si>
    <t xml:space="preserve"> </t>
  </si>
  <si>
    <t>`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</si>
  <si>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</si>
  <si>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TÀI KHOẢN:      Cty TNHH Nhiêu Lộc: 046 100 040 4857 - Vietcombank - CN Tân Bình Dương</t>
  </si>
  <si>
    <t>Trần Thị Bạch Kim</t>
  </si>
  <si>
    <t>.</t>
  </si>
  <si>
    <t xml:space="preserve">  </t>
  </si>
  <si>
    <t>Phan Bội Châu</t>
  </si>
  <si>
    <t xml:space="preserve">Hotline: 0909 199 475 - 0907.020.493 </t>
  </si>
  <si>
    <t/>
  </si>
  <si>
    <t>Số cần đọc là:</t>
  </si>
  <si>
    <t>Bằng chữ:</t>
  </si>
  <si>
    <t>Đọc thành tiền:</t>
  </si>
  <si>
    <t>Bảng dưới đây có thể copy sang 1 sheet để ẩn:</t>
  </si>
  <si>
    <t xml:space="preserve">  Lưu ý: Hàng đổi/trả phải nguyên đai, nguyên kiện trong vòng 7 ngày</t>
  </si>
  <si>
    <t>{{KE_TOAN}}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</si>
</sst>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₫_-;\-* #,##0.00\ _₫_-;_-* &quot;-&quot;??\ _₫_-;_-@_-"/>
    <numFmt numFmtId="165" formatCode="_(* #,##0_);_(* \(#,##0\);_(* &quot;-&quot;??_);_(@_)"/>
    <numFmt numFmtId="166" formatCode="&quot;    &quot;dd&quot;              &quot;mm&quot;           &quot;yyyy"/>
    <numFmt numFmtId="167" formatCode="#,##0.000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u/>
      <sz val="11"/>
      <color theme="1"/>
      <name val="Arial"/>
      <family val="2"/>
    </font>
    <font>
      <sz val="12"/>
      <color indexed="8"/>
      <name val="Times New Roman"/>
      <family val="1"/>
    </font>
    <font>
      <sz val="11"/>
      <color indexed="8"/>
      <name val="Calibri"/>
      <family val="2"/>
    </font>
    <font>
      <b/>
      <sz val="12"/>
      <color indexed="8"/>
      <name val="Times New Roman"/>
      <family val="1"/>
    </font>
    <font>
      <sz val="11"/>
      <color indexed="8"/>
      <name val="Times New Roman"/>
      <family val="1"/>
    </font>
    <font>
      <b/>
      <i/>
      <sz val="12"/>
      <color rgb="FFFF0000"/>
      <name val="Times New Roman"/>
      <family val="1"/>
    </font>
    <font>
      <b/>
      <i/>
      <sz val="12"/>
      <color theme="8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0"/>
      <name val="VNI-Times"/>
      <family val="2"/>
    </font>
    <font>
      <b/>
      <sz val="11"/>
      <color indexed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11"/>
      <color indexed="12"/>
      <name val="Times New Roman"/>
      <family val="1"/>
    </font>
    <font>
      <sz val="10"/>
      <name val=".VnArial"/>
      <family val="2"/>
    </font>
    <font>
      <sz val="11"/>
      <color rgb="FF1C1E2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4" fillId="0" borderId="0"/>
    <xf numFmtId="0" fontId="16" fillId="0" borderId="0"/>
    <xf numFmtId="0" fontId="21" fillId="0" borderId="0"/>
  </cellStyleXfs>
  <cellXfs count="6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1" applyNumberFormat="1" applyFont="1" applyFill="1" applyBorder="1" applyAlignment="1">
      <alignment horizontal="center"/>
    </xf>
    <xf numFmtId="165" fontId="2" fillId="0" borderId="0" xfId="1" applyNumberFormat="1" applyFont="1" applyFill="1" applyBorder="1"/>
    <xf numFmtId="166" fontId="2" fillId="0" borderId="0" xfId="1" applyNumberFormat="1" applyFont="1" applyFill="1" applyBorder="1" applyAlignment="1"/>
    <xf numFmtId="20" fontId="2" fillId="0" borderId="0" xfId="0" applyNumberFormat="1" applyFont="1" applyAlignment="1">
      <alignment horizontal="center"/>
    </xf>
    <xf numFmtId="0" fontId="3" fillId="0" borderId="0" xfId="0" applyFont="1"/>
    <xf numFmtId="0" fontId="4" fillId="0" borderId="0" xfId="0" applyFont="1"/>
    <xf numFmtId="0" fontId="4" fillId="0" borderId="0" xfId="1" applyNumberFormat="1" applyFont="1" applyFill="1" applyBorder="1" applyAlignment="1">
      <alignment horizontal="center"/>
    </xf>
    <xf numFmtId="165" fontId="2" fillId="0" borderId="0" xfId="1" applyNumberFormat="1" applyFont="1" applyFill="1" applyBorder="1" applyAlignment="1"/>
    <xf numFmtId="14" fontId="2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0" fontId="5" fillId="0" borderId="0" xfId="0" applyFont="1"/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top"/>
    </xf>
    <xf numFmtId="0" fontId="6" fillId="0" borderId="0" xfId="0" applyFont="1" applyAlignment="1">
      <alignment horizontal="left" vertical="center"/>
    </xf>
    <xf numFmtId="0" fontId="4" fillId="0" borderId="0" xfId="0" applyFont="1" applyAlignment="1">
      <alignment horizontal="center"/>
    </xf>
    <xf numFmtId="165" fontId="4" fillId="0" borderId="0" xfId="1" applyNumberFormat="1" applyFont="1" applyFill="1" applyBorder="1" applyAlignment="1">
      <alignment horizontal="center"/>
    </xf>
    <xf numFmtId="3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right"/>
    </xf>
    <xf numFmtId="165" fontId="2" fillId="0" borderId="0" xfId="1" applyNumberFormat="1" applyFont="1" applyFill="1" applyBorder="1" applyAlignment="1">
      <alignment horizontal="right"/>
    </xf>
    <xf numFmtId="3" fontId="2" fillId="0" borderId="0" xfId="0" applyNumberFormat="1" applyFont="1" applyAlignment="1">
      <alignment horizontal="right"/>
    </xf>
    <xf numFmtId="167" fontId="2" fillId="0" borderId="0" xfId="1" applyNumberFormat="1" applyFont="1" applyFill="1" applyBorder="1" applyAlignment="1">
      <alignment horizontal="right"/>
    </xf>
    <xf numFmtId="3" fontId="2" fillId="0" borderId="0" xfId="0" applyNumberFormat="1" applyFont="1"/>
    <xf numFmtId="165" fontId="2" fillId="0" borderId="0" xfId="1" applyNumberFormat="1" applyFont="1" applyFill="1" applyBorder="1" applyAlignment="1">
      <alignment horizontal="center"/>
    </xf>
    <xf numFmtId="0" fontId="4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/>
    <xf numFmtId="165" fontId="10" fillId="0" borderId="0" xfId="2" applyNumberFormat="1" applyFont="1" applyAlignment="1">
      <alignment horizontal="center"/>
    </xf>
    <xf numFmtId="0" fontId="11" fillId="0" borderId="0" xfId="0" applyFont="1" applyAlignment="1">
      <alignment horizontal="center"/>
    </xf>
    <xf numFmtId="165" fontId="11" fillId="0" borderId="0" xfId="2" applyNumberFormat="1" applyFont="1"/>
    <xf numFmtId="165" fontId="11" fillId="0" borderId="0" xfId="2" applyNumberFormat="1" applyFont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165" fontId="15" fillId="2" borderId="0" xfId="3" applyNumberFormat="1" applyFont="1" applyFill="1"/>
    <xf numFmtId="0" fontId="17" fillId="3" borderId="0" xfId="4" applyFont="1" applyFill="1" applyAlignment="1" applyProtection="1">
      <alignment horizontal="center"/>
      <protection hidden="1"/>
    </xf>
    <xf numFmtId="0" fontId="18" fillId="4" borderId="0" xfId="4" applyFont="1" applyFill="1" applyAlignment="1" applyProtection="1">
      <alignment horizontal="center"/>
      <protection hidden="1"/>
    </xf>
    <xf numFmtId="0" fontId="18" fillId="5" borderId="0" xfId="4" applyFont="1" applyFill="1" applyAlignment="1" applyProtection="1">
      <alignment horizontal="center"/>
      <protection hidden="1"/>
    </xf>
    <xf numFmtId="0" fontId="18" fillId="6" borderId="0" xfId="4" applyFont="1" applyFill="1" applyAlignment="1" applyProtection="1">
      <alignment horizontal="center"/>
      <protection hidden="1"/>
    </xf>
    <xf numFmtId="0" fontId="18" fillId="7" borderId="0" xfId="4" applyFont="1" applyFill="1" applyAlignment="1" applyProtection="1">
      <alignment horizontal="center"/>
      <protection hidden="1"/>
    </xf>
    <xf numFmtId="0" fontId="15" fillId="2" borderId="0" xfId="3" applyFont="1" applyFill="1"/>
    <xf numFmtId="0" fontId="19" fillId="3" borderId="0" xfId="4" applyFont="1" applyFill="1" applyProtection="1">
      <protection hidden="1"/>
    </xf>
    <xf numFmtId="0" fontId="20" fillId="4" borderId="0" xfId="4" applyFont="1" applyFill="1" applyProtection="1">
      <protection hidden="1"/>
    </xf>
    <xf numFmtId="0" fontId="20" fillId="5" borderId="0" xfId="4" applyFont="1" applyFill="1" applyProtection="1">
      <protection hidden="1"/>
    </xf>
    <xf numFmtId="0" fontId="20" fillId="6" borderId="0" xfId="4" applyFont="1" applyFill="1" applyProtection="1">
      <protection hidden="1"/>
    </xf>
    <xf numFmtId="0" fontId="20" fillId="7" borderId="0" xfId="4" applyFont="1" applyFill="1" applyProtection="1">
      <protection hidden="1"/>
    </xf>
    <xf numFmtId="0" fontId="18" fillId="2" borderId="0" xfId="3" applyFont="1" applyFill="1"/>
    <xf numFmtId="0" fontId="20" fillId="4" borderId="0" xfId="5" applyFont="1" applyFill="1" applyAlignment="1" applyProtection="1">
      <alignment horizontal="center"/>
      <protection hidden="1"/>
    </xf>
    <xf numFmtId="0" fontId="20" fillId="5" borderId="0" xfId="5" applyFont="1" applyFill="1" applyAlignment="1" applyProtection="1">
      <alignment horizontal="center"/>
      <protection hidden="1"/>
    </xf>
    <xf numFmtId="0" fontId="20" fillId="6" borderId="0" xfId="5" applyFont="1" applyFill="1" applyAlignment="1" applyProtection="1">
      <alignment horizontal="center"/>
      <protection hidden="1"/>
    </xf>
    <xf numFmtId="0" fontId="20" fillId="7" borderId="0" xfId="5" applyFont="1" applyFill="1" applyAlignment="1" applyProtection="1">
      <alignment horizontal="center"/>
      <protection hidden="1"/>
    </xf>
    <xf numFmtId="0" fontId="20" fillId="4" borderId="0" xfId="4" applyFont="1" applyFill="1" applyAlignment="1" applyProtection="1">
      <alignment horizontal="center"/>
      <protection hidden="1"/>
    </xf>
    <xf numFmtId="0" fontId="20" fillId="5" borderId="0" xfId="4" applyFont="1" applyFill="1" applyAlignment="1" applyProtection="1">
      <alignment horizontal="center"/>
      <protection hidden="1"/>
    </xf>
    <xf numFmtId="0" fontId="20" fillId="6" borderId="0" xfId="4" applyFont="1" applyFill="1" applyAlignment="1" applyProtection="1">
      <alignment horizontal="center"/>
      <protection hidden="1"/>
    </xf>
    <xf numFmtId="0" fontId="20" fillId="7" borderId="0" xfId="4" applyFont="1" applyFill="1" applyAlignment="1" applyProtection="1">
      <alignment horizontal="center"/>
      <protection hidden="1"/>
    </xf>
    <xf numFmtId="0" fontId="11" fillId="0" borderId="0" xfId="0" applyFont="1" applyAlignment="1">
      <alignment vertical="center"/>
    </xf>
    <xf numFmtId="0" fontId="19" fillId="0" borderId="0" xfId="4" applyFont="1" applyProtection="1">
      <protection hidden="1"/>
    </xf>
    <xf numFmtId="0" fontId="22" fillId="0" borderId="0" xfId="0" applyFont="1"/>
  </cellXfs>
  <cellStyles count="6">
    <cellStyle name="Comma" xfId="1" builtinId="3"/>
    <cellStyle name="Comma 2 15" xfId="2" xr:uid="{F4E19ACE-E2B5-48AD-9C4F-F3236E8222F2}"/>
    <cellStyle name="Normal" xfId="0" builtinId="0"/>
    <cellStyle name="Normal 2 3" xfId="3" xr:uid="{F9DECC50-62F7-4C07-A910-87BE861E0D3D}"/>
    <cellStyle name="Normal_Dichso 2" xfId="5" xr:uid="{1D688D9C-88CD-4881-AC33-7D0A4F0361E0}"/>
    <cellStyle name="Normal_DocSoUnicode 2" xfId="4" xr:uid="{A2BBA631-3FCB-409F-B89C-D5D539019B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Si-2026.xlsm" TargetMode="External"/><Relationship Id="rId1" Type="http://schemas.openxmlformats.org/officeDocument/2006/relationships/externalLinkPath" Target="file:///D:\Si-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nge"/>
      <sheetName val="Ghi số ký lẻ"/>
      <sheetName val="MAKH"/>
      <sheetName val="INPXUAT"/>
      <sheetName val="PTINHTIEN"/>
      <sheetName val="HÀNG CHƯA NHẬP"/>
      <sheetName val="Ban Si"/>
      <sheetName val="INHOADON"/>
      <sheetName val="CX"/>
      <sheetName val="LenhkhoSi"/>
      <sheetName val="CKNB"/>
      <sheetName val="CKAB"/>
      <sheetName val="Sheet1"/>
      <sheetName val="QC"/>
      <sheetName val="Le"/>
      <sheetName val="Nhap vi tri"/>
      <sheetName val="KÊ DATE"/>
      <sheetName val="MH"/>
      <sheetName val="Nhap"/>
      <sheetName val="KH"/>
      <sheetName val="__LB_TMP"/>
      <sheetName val="SD"/>
      <sheetName val="Sheet3"/>
      <sheetName val="Bá lộc"/>
      <sheetName val="Bá lộc (2)"/>
      <sheetName val="Sheet4"/>
      <sheetName val="GG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B5" t="str">
            <v xml:space="preserve">k </v>
          </cell>
          <cell r="C5" t="str">
            <v>CX</v>
          </cell>
          <cell r="H5" t="str">
            <v>k xóa</v>
          </cell>
        </row>
        <row r="6">
          <cell r="B6" t="str">
            <v>HM</v>
          </cell>
          <cell r="C6" t="str">
            <v>CX</v>
          </cell>
          <cell r="H6" t="str">
            <v>HMUI-279086-TON-HCM</v>
          </cell>
          <cell r="K6">
            <v>87</v>
          </cell>
          <cell r="Q6" t="str">
            <v>FP8</v>
          </cell>
        </row>
        <row r="7">
          <cell r="B7" t="str">
            <v/>
          </cell>
          <cell r="C7" t="str">
            <v>CX</v>
          </cell>
        </row>
        <row r="8">
          <cell r="B8" t="str">
            <v/>
          </cell>
          <cell r="C8" t="str">
            <v>CX</v>
          </cell>
        </row>
        <row r="9">
          <cell r="B9" t="str">
            <v/>
          </cell>
          <cell r="C9" t="str">
            <v>CX</v>
          </cell>
        </row>
        <row r="10">
          <cell r="B10" t="str">
            <v/>
          </cell>
          <cell r="C10" t="str">
            <v>CX</v>
          </cell>
        </row>
        <row r="11">
          <cell r="B11" t="str">
            <v/>
          </cell>
          <cell r="C11" t="str">
            <v>CX</v>
          </cell>
        </row>
        <row r="12">
          <cell r="B12" t="str">
            <v/>
          </cell>
          <cell r="C12" t="str">
            <v>CX</v>
          </cell>
        </row>
        <row r="13">
          <cell r="B13" t="str">
            <v/>
          </cell>
          <cell r="C13" t="str">
            <v>CX</v>
          </cell>
        </row>
        <row r="14">
          <cell r="B14" t="str">
            <v/>
          </cell>
          <cell r="C14" t="str">
            <v>CX</v>
          </cell>
        </row>
        <row r="15">
          <cell r="B15" t="str">
            <v/>
          </cell>
          <cell r="C15" t="str">
            <v>CX</v>
          </cell>
        </row>
        <row r="16">
          <cell r="B16" t="str">
            <v/>
          </cell>
          <cell r="C16" t="str">
            <v>CX</v>
          </cell>
        </row>
        <row r="17">
          <cell r="B17" t="str">
            <v/>
          </cell>
          <cell r="C17" t="str">
            <v>CX</v>
          </cell>
        </row>
        <row r="18">
          <cell r="B18" t="str">
            <v/>
          </cell>
          <cell r="C18" t="str">
            <v>CX</v>
          </cell>
        </row>
        <row r="19">
          <cell r="B19" t="str">
            <v/>
          </cell>
          <cell r="C19" t="str">
            <v>CX</v>
          </cell>
        </row>
        <row r="20">
          <cell r="B20" t="str">
            <v/>
          </cell>
          <cell r="C20" t="str">
            <v>CX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3">
          <cell r="A3" t="str">
            <v>HMUI-279086-TON-HCM</v>
          </cell>
          <cell r="B3">
            <v>77</v>
          </cell>
          <cell r="C3" t="str">
            <v>FP8</v>
          </cell>
        </row>
        <row r="4">
          <cell r="A4" t="str">
            <v>HMUI-279086-TON-HCM</v>
          </cell>
          <cell r="B4">
            <v>-44</v>
          </cell>
          <cell r="C4" t="str">
            <v>FP8</v>
          </cell>
        </row>
        <row r="5">
          <cell r="A5" t="str">
            <v>HMUI-279086-TON-HCM</v>
          </cell>
          <cell r="B5">
            <v>44</v>
          </cell>
          <cell r="C5" t="str">
            <v>AP2</v>
          </cell>
        </row>
        <row r="6">
          <cell r="A6" t="str">
            <v>HMUI-279086-TON-HCM</v>
          </cell>
          <cell r="B6">
            <v>44</v>
          </cell>
          <cell r="C6" t="str">
            <v>FP9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F126F-0DF3-46C0-8733-930CE0C3AAF5}">
  <sheetPr codeName="Sheet5"/>
  <dimension ref="A1:P15"/>
  <sheetViews>
    <sheetView workbookViewId="0">
      <selection activeCell="B3" sqref="B3"/>
    </sheetView>
  </sheetViews>
  <sheetFormatPr defaultColWidth="8.85546875" defaultRowHeight="15"/>
  <cols>
    <col min="1" max="1" width="14.140625" style="34" customWidth="1"/>
    <col min="2" max="2" width="18.140625" style="34" customWidth="1"/>
    <col min="3" max="3" width="6" style="31" customWidth="1"/>
    <col min="4" max="4" width="6" style="32" customWidth="1"/>
    <col min="5" max="5" width="6" style="33" customWidth="1"/>
    <col min="6" max="6" width="6" style="32" customWidth="1"/>
    <col min="7" max="14" width="6" style="34" customWidth="1"/>
    <col min="15" max="21" width="10.28515625" style="34" customWidth="1"/>
    <col min="22" max="24" width="9.140625" style="34" bestFit="1" customWidth="1"/>
    <col min="25" max="25" width="12.42578125" style="34" customWidth="1"/>
    <col min="26" max="256" width="8.85546875" style="34"/>
    <col min="257" max="257" width="14.140625" style="34" customWidth="1"/>
    <col min="258" max="258" width="18.140625" style="34" customWidth="1"/>
    <col min="259" max="270" width="6" style="34" customWidth="1"/>
    <col min="271" max="277" width="10.28515625" style="34" customWidth="1"/>
    <col min="278" max="280" width="9.140625" style="34" bestFit="1" customWidth="1"/>
    <col min="281" max="281" width="12.42578125" style="34" customWidth="1"/>
    <col min="282" max="512" width="8.85546875" style="34"/>
    <col min="513" max="513" width="14.140625" style="34" customWidth="1"/>
    <col min="514" max="514" width="18.140625" style="34" customWidth="1"/>
    <col min="515" max="526" width="6" style="34" customWidth="1"/>
    <col min="527" max="533" width="10.28515625" style="34" customWidth="1"/>
    <col min="534" max="536" width="9.140625" style="34" bestFit="1" customWidth="1"/>
    <col min="537" max="537" width="12.42578125" style="34" customWidth="1"/>
    <col min="538" max="768" width="8.85546875" style="34"/>
    <col min="769" max="769" width="14.140625" style="34" customWidth="1"/>
    <col min="770" max="770" width="18.140625" style="34" customWidth="1"/>
    <col min="771" max="782" width="6" style="34" customWidth="1"/>
    <col min="783" max="789" width="10.28515625" style="34" customWidth="1"/>
    <col min="790" max="792" width="9.140625" style="34" bestFit="1" customWidth="1"/>
    <col min="793" max="793" width="12.42578125" style="34" customWidth="1"/>
    <col min="794" max="1024" width="8.85546875" style="34"/>
    <col min="1025" max="1025" width="14.140625" style="34" customWidth="1"/>
    <col min="1026" max="1026" width="18.140625" style="34" customWidth="1"/>
    <col min="1027" max="1038" width="6" style="34" customWidth="1"/>
    <col min="1039" max="1045" width="10.28515625" style="34" customWidth="1"/>
    <col min="1046" max="1048" width="9.140625" style="34" bestFit="1" customWidth="1"/>
    <col min="1049" max="1049" width="12.42578125" style="34" customWidth="1"/>
    <col min="1050" max="1280" width="8.85546875" style="34"/>
    <col min="1281" max="1281" width="14.140625" style="34" customWidth="1"/>
    <col min="1282" max="1282" width="18.140625" style="34" customWidth="1"/>
    <col min="1283" max="1294" width="6" style="34" customWidth="1"/>
    <col min="1295" max="1301" width="10.28515625" style="34" customWidth="1"/>
    <col min="1302" max="1304" width="9.140625" style="34" bestFit="1" customWidth="1"/>
    <col min="1305" max="1305" width="12.42578125" style="34" customWidth="1"/>
    <col min="1306" max="1536" width="8.85546875" style="34"/>
    <col min="1537" max="1537" width="14.140625" style="34" customWidth="1"/>
    <col min="1538" max="1538" width="18.140625" style="34" customWidth="1"/>
    <col min="1539" max="1550" width="6" style="34" customWidth="1"/>
    <col min="1551" max="1557" width="10.28515625" style="34" customWidth="1"/>
    <col min="1558" max="1560" width="9.140625" style="34" bestFit="1" customWidth="1"/>
    <col min="1561" max="1561" width="12.42578125" style="34" customWidth="1"/>
    <col min="1562" max="1792" width="8.85546875" style="34"/>
    <col min="1793" max="1793" width="14.140625" style="34" customWidth="1"/>
    <col min="1794" max="1794" width="18.140625" style="34" customWidth="1"/>
    <col min="1795" max="1806" width="6" style="34" customWidth="1"/>
    <col min="1807" max="1813" width="10.28515625" style="34" customWidth="1"/>
    <col min="1814" max="1816" width="9.140625" style="34" bestFit="1" customWidth="1"/>
    <col min="1817" max="1817" width="12.42578125" style="34" customWidth="1"/>
    <col min="1818" max="2048" width="8.85546875" style="34"/>
    <col min="2049" max="2049" width="14.140625" style="34" customWidth="1"/>
    <col min="2050" max="2050" width="18.140625" style="34" customWidth="1"/>
    <col min="2051" max="2062" width="6" style="34" customWidth="1"/>
    <col min="2063" max="2069" width="10.28515625" style="34" customWidth="1"/>
    <col min="2070" max="2072" width="9.140625" style="34" bestFit="1" customWidth="1"/>
    <col min="2073" max="2073" width="12.42578125" style="34" customWidth="1"/>
    <col min="2074" max="2304" width="8.85546875" style="34"/>
    <col min="2305" max="2305" width="14.140625" style="34" customWidth="1"/>
    <col min="2306" max="2306" width="18.140625" style="34" customWidth="1"/>
    <col min="2307" max="2318" width="6" style="34" customWidth="1"/>
    <col min="2319" max="2325" width="10.28515625" style="34" customWidth="1"/>
    <col min="2326" max="2328" width="9.140625" style="34" bestFit="1" customWidth="1"/>
    <col min="2329" max="2329" width="12.42578125" style="34" customWidth="1"/>
    <col min="2330" max="2560" width="8.85546875" style="34"/>
    <col min="2561" max="2561" width="14.140625" style="34" customWidth="1"/>
    <col min="2562" max="2562" width="18.140625" style="34" customWidth="1"/>
    <col min="2563" max="2574" width="6" style="34" customWidth="1"/>
    <col min="2575" max="2581" width="10.28515625" style="34" customWidth="1"/>
    <col min="2582" max="2584" width="9.140625" style="34" bestFit="1" customWidth="1"/>
    <col min="2585" max="2585" width="12.42578125" style="34" customWidth="1"/>
    <col min="2586" max="2816" width="8.85546875" style="34"/>
    <col min="2817" max="2817" width="14.140625" style="34" customWidth="1"/>
    <col min="2818" max="2818" width="18.140625" style="34" customWidth="1"/>
    <col min="2819" max="2830" width="6" style="34" customWidth="1"/>
    <col min="2831" max="2837" width="10.28515625" style="34" customWidth="1"/>
    <col min="2838" max="2840" width="9.140625" style="34" bestFit="1" customWidth="1"/>
    <col min="2841" max="2841" width="12.42578125" style="34" customWidth="1"/>
    <col min="2842" max="3072" width="8.85546875" style="34"/>
    <col min="3073" max="3073" width="14.140625" style="34" customWidth="1"/>
    <col min="3074" max="3074" width="18.140625" style="34" customWidth="1"/>
    <col min="3075" max="3086" width="6" style="34" customWidth="1"/>
    <col min="3087" max="3093" width="10.28515625" style="34" customWidth="1"/>
    <col min="3094" max="3096" width="9.140625" style="34" bestFit="1" customWidth="1"/>
    <col min="3097" max="3097" width="12.42578125" style="34" customWidth="1"/>
    <col min="3098" max="3328" width="8.85546875" style="34"/>
    <col min="3329" max="3329" width="14.140625" style="34" customWidth="1"/>
    <col min="3330" max="3330" width="18.140625" style="34" customWidth="1"/>
    <col min="3331" max="3342" width="6" style="34" customWidth="1"/>
    <col min="3343" max="3349" width="10.28515625" style="34" customWidth="1"/>
    <col min="3350" max="3352" width="9.140625" style="34" bestFit="1" customWidth="1"/>
    <col min="3353" max="3353" width="12.42578125" style="34" customWidth="1"/>
    <col min="3354" max="3584" width="8.85546875" style="34"/>
    <col min="3585" max="3585" width="14.140625" style="34" customWidth="1"/>
    <col min="3586" max="3586" width="18.140625" style="34" customWidth="1"/>
    <col min="3587" max="3598" width="6" style="34" customWidth="1"/>
    <col min="3599" max="3605" width="10.28515625" style="34" customWidth="1"/>
    <col min="3606" max="3608" width="9.140625" style="34" bestFit="1" customWidth="1"/>
    <col min="3609" max="3609" width="12.42578125" style="34" customWidth="1"/>
    <col min="3610" max="3840" width="8.85546875" style="34"/>
    <col min="3841" max="3841" width="14.140625" style="34" customWidth="1"/>
    <col min="3842" max="3842" width="18.140625" style="34" customWidth="1"/>
    <col min="3843" max="3854" width="6" style="34" customWidth="1"/>
    <col min="3855" max="3861" width="10.28515625" style="34" customWidth="1"/>
    <col min="3862" max="3864" width="9.140625" style="34" bestFit="1" customWidth="1"/>
    <col min="3865" max="3865" width="12.42578125" style="34" customWidth="1"/>
    <col min="3866" max="4096" width="8.85546875" style="34"/>
    <col min="4097" max="4097" width="14.140625" style="34" customWidth="1"/>
    <col min="4098" max="4098" width="18.140625" style="34" customWidth="1"/>
    <col min="4099" max="4110" width="6" style="34" customWidth="1"/>
    <col min="4111" max="4117" width="10.28515625" style="34" customWidth="1"/>
    <col min="4118" max="4120" width="9.140625" style="34" bestFit="1" customWidth="1"/>
    <col min="4121" max="4121" width="12.42578125" style="34" customWidth="1"/>
    <col min="4122" max="4352" width="8.85546875" style="34"/>
    <col min="4353" max="4353" width="14.140625" style="34" customWidth="1"/>
    <col min="4354" max="4354" width="18.140625" style="34" customWidth="1"/>
    <col min="4355" max="4366" width="6" style="34" customWidth="1"/>
    <col min="4367" max="4373" width="10.28515625" style="34" customWidth="1"/>
    <col min="4374" max="4376" width="9.140625" style="34" bestFit="1" customWidth="1"/>
    <col min="4377" max="4377" width="12.42578125" style="34" customWidth="1"/>
    <col min="4378" max="4608" width="8.85546875" style="34"/>
    <col min="4609" max="4609" width="14.140625" style="34" customWidth="1"/>
    <col min="4610" max="4610" width="18.140625" style="34" customWidth="1"/>
    <col min="4611" max="4622" width="6" style="34" customWidth="1"/>
    <col min="4623" max="4629" width="10.28515625" style="34" customWidth="1"/>
    <col min="4630" max="4632" width="9.140625" style="34" bestFit="1" customWidth="1"/>
    <col min="4633" max="4633" width="12.42578125" style="34" customWidth="1"/>
    <col min="4634" max="4864" width="8.85546875" style="34"/>
    <col min="4865" max="4865" width="14.140625" style="34" customWidth="1"/>
    <col min="4866" max="4866" width="18.140625" style="34" customWidth="1"/>
    <col min="4867" max="4878" width="6" style="34" customWidth="1"/>
    <col min="4879" max="4885" width="10.28515625" style="34" customWidth="1"/>
    <col min="4886" max="4888" width="9.140625" style="34" bestFit="1" customWidth="1"/>
    <col min="4889" max="4889" width="12.42578125" style="34" customWidth="1"/>
    <col min="4890" max="5120" width="8.85546875" style="34"/>
    <col min="5121" max="5121" width="14.140625" style="34" customWidth="1"/>
    <col min="5122" max="5122" width="18.140625" style="34" customWidth="1"/>
    <col min="5123" max="5134" width="6" style="34" customWidth="1"/>
    <col min="5135" max="5141" width="10.28515625" style="34" customWidth="1"/>
    <col min="5142" max="5144" width="9.140625" style="34" bestFit="1" customWidth="1"/>
    <col min="5145" max="5145" width="12.42578125" style="34" customWidth="1"/>
    <col min="5146" max="5376" width="8.85546875" style="34"/>
    <col min="5377" max="5377" width="14.140625" style="34" customWidth="1"/>
    <col min="5378" max="5378" width="18.140625" style="34" customWidth="1"/>
    <col min="5379" max="5390" width="6" style="34" customWidth="1"/>
    <col min="5391" max="5397" width="10.28515625" style="34" customWidth="1"/>
    <col min="5398" max="5400" width="9.140625" style="34" bestFit="1" customWidth="1"/>
    <col min="5401" max="5401" width="12.42578125" style="34" customWidth="1"/>
    <col min="5402" max="5632" width="8.85546875" style="34"/>
    <col min="5633" max="5633" width="14.140625" style="34" customWidth="1"/>
    <col min="5634" max="5634" width="18.140625" style="34" customWidth="1"/>
    <col min="5635" max="5646" width="6" style="34" customWidth="1"/>
    <col min="5647" max="5653" width="10.28515625" style="34" customWidth="1"/>
    <col min="5654" max="5656" width="9.140625" style="34" bestFit="1" customWidth="1"/>
    <col min="5657" max="5657" width="12.42578125" style="34" customWidth="1"/>
    <col min="5658" max="5888" width="8.85546875" style="34"/>
    <col min="5889" max="5889" width="14.140625" style="34" customWidth="1"/>
    <col min="5890" max="5890" width="18.140625" style="34" customWidth="1"/>
    <col min="5891" max="5902" width="6" style="34" customWidth="1"/>
    <col min="5903" max="5909" width="10.28515625" style="34" customWidth="1"/>
    <col min="5910" max="5912" width="9.140625" style="34" bestFit="1" customWidth="1"/>
    <col min="5913" max="5913" width="12.42578125" style="34" customWidth="1"/>
    <col min="5914" max="6144" width="8.85546875" style="34"/>
    <col min="6145" max="6145" width="14.140625" style="34" customWidth="1"/>
    <col min="6146" max="6146" width="18.140625" style="34" customWidth="1"/>
    <col min="6147" max="6158" width="6" style="34" customWidth="1"/>
    <col min="6159" max="6165" width="10.28515625" style="34" customWidth="1"/>
    <col min="6166" max="6168" width="9.140625" style="34" bestFit="1" customWidth="1"/>
    <col min="6169" max="6169" width="12.42578125" style="34" customWidth="1"/>
    <col min="6170" max="6400" width="8.85546875" style="34"/>
    <col min="6401" max="6401" width="14.140625" style="34" customWidth="1"/>
    <col min="6402" max="6402" width="18.140625" style="34" customWidth="1"/>
    <col min="6403" max="6414" width="6" style="34" customWidth="1"/>
    <col min="6415" max="6421" width="10.28515625" style="34" customWidth="1"/>
    <col min="6422" max="6424" width="9.140625" style="34" bestFit="1" customWidth="1"/>
    <col min="6425" max="6425" width="12.42578125" style="34" customWidth="1"/>
    <col min="6426" max="6656" width="8.85546875" style="34"/>
    <col min="6657" max="6657" width="14.140625" style="34" customWidth="1"/>
    <col min="6658" max="6658" width="18.140625" style="34" customWidth="1"/>
    <col min="6659" max="6670" width="6" style="34" customWidth="1"/>
    <col min="6671" max="6677" width="10.28515625" style="34" customWidth="1"/>
    <col min="6678" max="6680" width="9.140625" style="34" bestFit="1" customWidth="1"/>
    <col min="6681" max="6681" width="12.42578125" style="34" customWidth="1"/>
    <col min="6682" max="6912" width="8.85546875" style="34"/>
    <col min="6913" max="6913" width="14.140625" style="34" customWidth="1"/>
    <col min="6914" max="6914" width="18.140625" style="34" customWidth="1"/>
    <col min="6915" max="6926" width="6" style="34" customWidth="1"/>
    <col min="6927" max="6933" width="10.28515625" style="34" customWidth="1"/>
    <col min="6934" max="6936" width="9.140625" style="34" bestFit="1" customWidth="1"/>
    <col min="6937" max="6937" width="12.42578125" style="34" customWidth="1"/>
    <col min="6938" max="7168" width="8.85546875" style="34"/>
    <col min="7169" max="7169" width="14.140625" style="34" customWidth="1"/>
    <col min="7170" max="7170" width="18.140625" style="34" customWidth="1"/>
    <col min="7171" max="7182" width="6" style="34" customWidth="1"/>
    <col min="7183" max="7189" width="10.28515625" style="34" customWidth="1"/>
    <col min="7190" max="7192" width="9.140625" style="34" bestFit="1" customWidth="1"/>
    <col min="7193" max="7193" width="12.42578125" style="34" customWidth="1"/>
    <col min="7194" max="7424" width="8.85546875" style="34"/>
    <col min="7425" max="7425" width="14.140625" style="34" customWidth="1"/>
    <col min="7426" max="7426" width="18.140625" style="34" customWidth="1"/>
    <col min="7427" max="7438" width="6" style="34" customWidth="1"/>
    <col min="7439" max="7445" width="10.28515625" style="34" customWidth="1"/>
    <col min="7446" max="7448" width="9.140625" style="34" bestFit="1" customWidth="1"/>
    <col min="7449" max="7449" width="12.42578125" style="34" customWidth="1"/>
    <col min="7450" max="7680" width="8.85546875" style="34"/>
    <col min="7681" max="7681" width="14.140625" style="34" customWidth="1"/>
    <col min="7682" max="7682" width="18.140625" style="34" customWidth="1"/>
    <col min="7683" max="7694" width="6" style="34" customWidth="1"/>
    <col min="7695" max="7701" width="10.28515625" style="34" customWidth="1"/>
    <col min="7702" max="7704" width="9.140625" style="34" bestFit="1" customWidth="1"/>
    <col min="7705" max="7705" width="12.42578125" style="34" customWidth="1"/>
    <col min="7706" max="7936" width="8.85546875" style="34"/>
    <col min="7937" max="7937" width="14.140625" style="34" customWidth="1"/>
    <col min="7938" max="7938" width="18.140625" style="34" customWidth="1"/>
    <col min="7939" max="7950" width="6" style="34" customWidth="1"/>
    <col min="7951" max="7957" width="10.28515625" style="34" customWidth="1"/>
    <col min="7958" max="7960" width="9.140625" style="34" bestFit="1" customWidth="1"/>
    <col min="7961" max="7961" width="12.42578125" style="34" customWidth="1"/>
    <col min="7962" max="8192" width="8.85546875" style="34"/>
    <col min="8193" max="8193" width="14.140625" style="34" customWidth="1"/>
    <col min="8194" max="8194" width="18.140625" style="34" customWidth="1"/>
    <col min="8195" max="8206" width="6" style="34" customWidth="1"/>
    <col min="8207" max="8213" width="10.28515625" style="34" customWidth="1"/>
    <col min="8214" max="8216" width="9.140625" style="34" bestFit="1" customWidth="1"/>
    <col min="8217" max="8217" width="12.42578125" style="34" customWidth="1"/>
    <col min="8218" max="8448" width="8.85546875" style="34"/>
    <col min="8449" max="8449" width="14.140625" style="34" customWidth="1"/>
    <col min="8450" max="8450" width="18.140625" style="34" customWidth="1"/>
    <col min="8451" max="8462" width="6" style="34" customWidth="1"/>
    <col min="8463" max="8469" width="10.28515625" style="34" customWidth="1"/>
    <col min="8470" max="8472" width="9.140625" style="34" bestFit="1" customWidth="1"/>
    <col min="8473" max="8473" width="12.42578125" style="34" customWidth="1"/>
    <col min="8474" max="8704" width="8.85546875" style="34"/>
    <col min="8705" max="8705" width="14.140625" style="34" customWidth="1"/>
    <col min="8706" max="8706" width="18.140625" style="34" customWidth="1"/>
    <col min="8707" max="8718" width="6" style="34" customWidth="1"/>
    <col min="8719" max="8725" width="10.28515625" style="34" customWidth="1"/>
    <col min="8726" max="8728" width="9.140625" style="34" bestFit="1" customWidth="1"/>
    <col min="8729" max="8729" width="12.42578125" style="34" customWidth="1"/>
    <col min="8730" max="8960" width="8.85546875" style="34"/>
    <col min="8961" max="8961" width="14.140625" style="34" customWidth="1"/>
    <col min="8962" max="8962" width="18.140625" style="34" customWidth="1"/>
    <col min="8963" max="8974" width="6" style="34" customWidth="1"/>
    <col min="8975" max="8981" width="10.28515625" style="34" customWidth="1"/>
    <col min="8982" max="8984" width="9.140625" style="34" bestFit="1" customWidth="1"/>
    <col min="8985" max="8985" width="12.42578125" style="34" customWidth="1"/>
    <col min="8986" max="9216" width="8.85546875" style="34"/>
    <col min="9217" max="9217" width="14.140625" style="34" customWidth="1"/>
    <col min="9218" max="9218" width="18.140625" style="34" customWidth="1"/>
    <col min="9219" max="9230" width="6" style="34" customWidth="1"/>
    <col min="9231" max="9237" width="10.28515625" style="34" customWidth="1"/>
    <col min="9238" max="9240" width="9.140625" style="34" bestFit="1" customWidth="1"/>
    <col min="9241" max="9241" width="12.42578125" style="34" customWidth="1"/>
    <col min="9242" max="9472" width="8.85546875" style="34"/>
    <col min="9473" max="9473" width="14.140625" style="34" customWidth="1"/>
    <col min="9474" max="9474" width="18.140625" style="34" customWidth="1"/>
    <col min="9475" max="9486" width="6" style="34" customWidth="1"/>
    <col min="9487" max="9493" width="10.28515625" style="34" customWidth="1"/>
    <col min="9494" max="9496" width="9.140625" style="34" bestFit="1" customWidth="1"/>
    <col min="9497" max="9497" width="12.42578125" style="34" customWidth="1"/>
    <col min="9498" max="9728" width="8.85546875" style="34"/>
    <col min="9729" max="9729" width="14.140625" style="34" customWidth="1"/>
    <col min="9730" max="9730" width="18.140625" style="34" customWidth="1"/>
    <col min="9731" max="9742" width="6" style="34" customWidth="1"/>
    <col min="9743" max="9749" width="10.28515625" style="34" customWidth="1"/>
    <col min="9750" max="9752" width="9.140625" style="34" bestFit="1" customWidth="1"/>
    <col min="9753" max="9753" width="12.42578125" style="34" customWidth="1"/>
    <col min="9754" max="9984" width="8.85546875" style="34"/>
    <col min="9985" max="9985" width="14.140625" style="34" customWidth="1"/>
    <col min="9986" max="9986" width="18.140625" style="34" customWidth="1"/>
    <col min="9987" max="9998" width="6" style="34" customWidth="1"/>
    <col min="9999" max="10005" width="10.28515625" style="34" customWidth="1"/>
    <col min="10006" max="10008" width="9.140625" style="34" bestFit="1" customWidth="1"/>
    <col min="10009" max="10009" width="12.42578125" style="34" customWidth="1"/>
    <col min="10010" max="10240" width="8.85546875" style="34"/>
    <col min="10241" max="10241" width="14.140625" style="34" customWidth="1"/>
    <col min="10242" max="10242" width="18.140625" style="34" customWidth="1"/>
    <col min="10243" max="10254" width="6" style="34" customWidth="1"/>
    <col min="10255" max="10261" width="10.28515625" style="34" customWidth="1"/>
    <col min="10262" max="10264" width="9.140625" style="34" bestFit="1" customWidth="1"/>
    <col min="10265" max="10265" width="12.42578125" style="34" customWidth="1"/>
    <col min="10266" max="10496" width="8.85546875" style="34"/>
    <col min="10497" max="10497" width="14.140625" style="34" customWidth="1"/>
    <col min="10498" max="10498" width="18.140625" style="34" customWidth="1"/>
    <col min="10499" max="10510" width="6" style="34" customWidth="1"/>
    <col min="10511" max="10517" width="10.28515625" style="34" customWidth="1"/>
    <col min="10518" max="10520" width="9.140625" style="34" bestFit="1" customWidth="1"/>
    <col min="10521" max="10521" width="12.42578125" style="34" customWidth="1"/>
    <col min="10522" max="10752" width="8.85546875" style="34"/>
    <col min="10753" max="10753" width="14.140625" style="34" customWidth="1"/>
    <col min="10754" max="10754" width="18.140625" style="34" customWidth="1"/>
    <col min="10755" max="10766" width="6" style="34" customWidth="1"/>
    <col min="10767" max="10773" width="10.28515625" style="34" customWidth="1"/>
    <col min="10774" max="10776" width="9.140625" style="34" bestFit="1" customWidth="1"/>
    <col min="10777" max="10777" width="12.42578125" style="34" customWidth="1"/>
    <col min="10778" max="11008" width="8.85546875" style="34"/>
    <col min="11009" max="11009" width="14.140625" style="34" customWidth="1"/>
    <col min="11010" max="11010" width="18.140625" style="34" customWidth="1"/>
    <col min="11011" max="11022" width="6" style="34" customWidth="1"/>
    <col min="11023" max="11029" width="10.28515625" style="34" customWidth="1"/>
    <col min="11030" max="11032" width="9.140625" style="34" bestFit="1" customWidth="1"/>
    <col min="11033" max="11033" width="12.42578125" style="34" customWidth="1"/>
    <col min="11034" max="11264" width="8.85546875" style="34"/>
    <col min="11265" max="11265" width="14.140625" style="34" customWidth="1"/>
    <col min="11266" max="11266" width="18.140625" style="34" customWidth="1"/>
    <col min="11267" max="11278" width="6" style="34" customWidth="1"/>
    <col min="11279" max="11285" width="10.28515625" style="34" customWidth="1"/>
    <col min="11286" max="11288" width="9.140625" style="34" bestFit="1" customWidth="1"/>
    <col min="11289" max="11289" width="12.42578125" style="34" customWidth="1"/>
    <col min="11290" max="11520" width="8.85546875" style="34"/>
    <col min="11521" max="11521" width="14.140625" style="34" customWidth="1"/>
    <col min="11522" max="11522" width="18.140625" style="34" customWidth="1"/>
    <col min="11523" max="11534" width="6" style="34" customWidth="1"/>
    <col min="11535" max="11541" width="10.28515625" style="34" customWidth="1"/>
    <col min="11542" max="11544" width="9.140625" style="34" bestFit="1" customWidth="1"/>
    <col min="11545" max="11545" width="12.42578125" style="34" customWidth="1"/>
    <col min="11546" max="11776" width="8.85546875" style="34"/>
    <col min="11777" max="11777" width="14.140625" style="34" customWidth="1"/>
    <col min="11778" max="11778" width="18.140625" style="34" customWidth="1"/>
    <col min="11779" max="11790" width="6" style="34" customWidth="1"/>
    <col min="11791" max="11797" width="10.28515625" style="34" customWidth="1"/>
    <col min="11798" max="11800" width="9.140625" style="34" bestFit="1" customWidth="1"/>
    <col min="11801" max="11801" width="12.42578125" style="34" customWidth="1"/>
    <col min="11802" max="12032" width="8.85546875" style="34"/>
    <col min="12033" max="12033" width="14.140625" style="34" customWidth="1"/>
    <col min="12034" max="12034" width="18.140625" style="34" customWidth="1"/>
    <col min="12035" max="12046" width="6" style="34" customWidth="1"/>
    <col min="12047" max="12053" width="10.28515625" style="34" customWidth="1"/>
    <col min="12054" max="12056" width="9.140625" style="34" bestFit="1" customWidth="1"/>
    <col min="12057" max="12057" width="12.42578125" style="34" customWidth="1"/>
    <col min="12058" max="12288" width="8.85546875" style="34"/>
    <col min="12289" max="12289" width="14.140625" style="34" customWidth="1"/>
    <col min="12290" max="12290" width="18.140625" style="34" customWidth="1"/>
    <col min="12291" max="12302" width="6" style="34" customWidth="1"/>
    <col min="12303" max="12309" width="10.28515625" style="34" customWidth="1"/>
    <col min="12310" max="12312" width="9.140625" style="34" bestFit="1" customWidth="1"/>
    <col min="12313" max="12313" width="12.42578125" style="34" customWidth="1"/>
    <col min="12314" max="12544" width="8.85546875" style="34"/>
    <col min="12545" max="12545" width="14.140625" style="34" customWidth="1"/>
    <col min="12546" max="12546" width="18.140625" style="34" customWidth="1"/>
    <col min="12547" max="12558" width="6" style="34" customWidth="1"/>
    <col min="12559" max="12565" width="10.28515625" style="34" customWidth="1"/>
    <col min="12566" max="12568" width="9.140625" style="34" bestFit="1" customWidth="1"/>
    <col min="12569" max="12569" width="12.42578125" style="34" customWidth="1"/>
    <col min="12570" max="12800" width="8.85546875" style="34"/>
    <col min="12801" max="12801" width="14.140625" style="34" customWidth="1"/>
    <col min="12802" max="12802" width="18.140625" style="34" customWidth="1"/>
    <col min="12803" max="12814" width="6" style="34" customWidth="1"/>
    <col min="12815" max="12821" width="10.28515625" style="34" customWidth="1"/>
    <col min="12822" max="12824" width="9.140625" style="34" bestFit="1" customWidth="1"/>
    <col min="12825" max="12825" width="12.42578125" style="34" customWidth="1"/>
    <col min="12826" max="13056" width="8.85546875" style="34"/>
    <col min="13057" max="13057" width="14.140625" style="34" customWidth="1"/>
    <col min="13058" max="13058" width="18.140625" style="34" customWidth="1"/>
    <col min="13059" max="13070" width="6" style="34" customWidth="1"/>
    <col min="13071" max="13077" width="10.28515625" style="34" customWidth="1"/>
    <col min="13078" max="13080" width="9.140625" style="34" bestFit="1" customWidth="1"/>
    <col min="13081" max="13081" width="12.42578125" style="34" customWidth="1"/>
    <col min="13082" max="13312" width="8.85546875" style="34"/>
    <col min="13313" max="13313" width="14.140625" style="34" customWidth="1"/>
    <col min="13314" max="13314" width="18.140625" style="34" customWidth="1"/>
    <col min="13315" max="13326" width="6" style="34" customWidth="1"/>
    <col min="13327" max="13333" width="10.28515625" style="34" customWidth="1"/>
    <col min="13334" max="13336" width="9.140625" style="34" bestFit="1" customWidth="1"/>
    <col min="13337" max="13337" width="12.42578125" style="34" customWidth="1"/>
    <col min="13338" max="13568" width="8.85546875" style="34"/>
    <col min="13569" max="13569" width="14.140625" style="34" customWidth="1"/>
    <col min="13570" max="13570" width="18.140625" style="34" customWidth="1"/>
    <col min="13571" max="13582" width="6" style="34" customWidth="1"/>
    <col min="13583" max="13589" width="10.28515625" style="34" customWidth="1"/>
    <col min="13590" max="13592" width="9.140625" style="34" bestFit="1" customWidth="1"/>
    <col min="13593" max="13593" width="12.42578125" style="34" customWidth="1"/>
    <col min="13594" max="13824" width="8.85546875" style="34"/>
    <col min="13825" max="13825" width="14.140625" style="34" customWidth="1"/>
    <col min="13826" max="13826" width="18.140625" style="34" customWidth="1"/>
    <col min="13827" max="13838" width="6" style="34" customWidth="1"/>
    <col min="13839" max="13845" width="10.28515625" style="34" customWidth="1"/>
    <col min="13846" max="13848" width="9.140625" style="34" bestFit="1" customWidth="1"/>
    <col min="13849" max="13849" width="12.42578125" style="34" customWidth="1"/>
    <col min="13850" max="14080" width="8.85546875" style="34"/>
    <col min="14081" max="14081" width="14.140625" style="34" customWidth="1"/>
    <col min="14082" max="14082" width="18.140625" style="34" customWidth="1"/>
    <col min="14083" max="14094" width="6" style="34" customWidth="1"/>
    <col min="14095" max="14101" width="10.28515625" style="34" customWidth="1"/>
    <col min="14102" max="14104" width="9.140625" style="34" bestFit="1" customWidth="1"/>
    <col min="14105" max="14105" width="12.42578125" style="34" customWidth="1"/>
    <col min="14106" max="14336" width="8.85546875" style="34"/>
    <col min="14337" max="14337" width="14.140625" style="34" customWidth="1"/>
    <col min="14338" max="14338" width="18.140625" style="34" customWidth="1"/>
    <col min="14339" max="14350" width="6" style="34" customWidth="1"/>
    <col min="14351" max="14357" width="10.28515625" style="34" customWidth="1"/>
    <col min="14358" max="14360" width="9.140625" style="34" bestFit="1" customWidth="1"/>
    <col min="14361" max="14361" width="12.42578125" style="34" customWidth="1"/>
    <col min="14362" max="14592" width="8.85546875" style="34"/>
    <col min="14593" max="14593" width="14.140625" style="34" customWidth="1"/>
    <col min="14594" max="14594" width="18.140625" style="34" customWidth="1"/>
    <col min="14595" max="14606" width="6" style="34" customWidth="1"/>
    <col min="14607" max="14613" width="10.28515625" style="34" customWidth="1"/>
    <col min="14614" max="14616" width="9.140625" style="34" bestFit="1" customWidth="1"/>
    <col min="14617" max="14617" width="12.42578125" style="34" customWidth="1"/>
    <col min="14618" max="14848" width="8.85546875" style="34"/>
    <col min="14849" max="14849" width="14.140625" style="34" customWidth="1"/>
    <col min="14850" max="14850" width="18.140625" style="34" customWidth="1"/>
    <col min="14851" max="14862" width="6" style="34" customWidth="1"/>
    <col min="14863" max="14869" width="10.28515625" style="34" customWidth="1"/>
    <col min="14870" max="14872" width="9.140625" style="34" bestFit="1" customWidth="1"/>
    <col min="14873" max="14873" width="12.42578125" style="34" customWidth="1"/>
    <col min="14874" max="15104" width="8.85546875" style="34"/>
    <col min="15105" max="15105" width="14.140625" style="34" customWidth="1"/>
    <col min="15106" max="15106" width="18.140625" style="34" customWidth="1"/>
    <col min="15107" max="15118" width="6" style="34" customWidth="1"/>
    <col min="15119" max="15125" width="10.28515625" style="34" customWidth="1"/>
    <col min="15126" max="15128" width="9.140625" style="34" bestFit="1" customWidth="1"/>
    <col min="15129" max="15129" width="12.42578125" style="34" customWidth="1"/>
    <col min="15130" max="15360" width="8.85546875" style="34"/>
    <col min="15361" max="15361" width="14.140625" style="34" customWidth="1"/>
    <col min="15362" max="15362" width="18.140625" style="34" customWidth="1"/>
    <col min="15363" max="15374" width="6" style="34" customWidth="1"/>
    <col min="15375" max="15381" width="10.28515625" style="34" customWidth="1"/>
    <col min="15382" max="15384" width="9.140625" style="34" bestFit="1" customWidth="1"/>
    <col min="15385" max="15385" width="12.42578125" style="34" customWidth="1"/>
    <col min="15386" max="15616" width="8.85546875" style="34"/>
    <col min="15617" max="15617" width="14.140625" style="34" customWidth="1"/>
    <col min="15618" max="15618" width="18.140625" style="34" customWidth="1"/>
    <col min="15619" max="15630" width="6" style="34" customWidth="1"/>
    <col min="15631" max="15637" width="10.28515625" style="34" customWidth="1"/>
    <col min="15638" max="15640" width="9.140625" style="34" bestFit="1" customWidth="1"/>
    <col min="15641" max="15641" width="12.42578125" style="34" customWidth="1"/>
    <col min="15642" max="15872" width="8.85546875" style="34"/>
    <col min="15873" max="15873" width="14.140625" style="34" customWidth="1"/>
    <col min="15874" max="15874" width="18.140625" style="34" customWidth="1"/>
    <col min="15875" max="15886" width="6" style="34" customWidth="1"/>
    <col min="15887" max="15893" width="10.28515625" style="34" customWidth="1"/>
    <col min="15894" max="15896" width="9.140625" style="34" bestFit="1" customWidth="1"/>
    <col min="15897" max="15897" width="12.42578125" style="34" customWidth="1"/>
    <col min="15898" max="16128" width="8.85546875" style="34"/>
    <col min="16129" max="16129" width="14.140625" style="34" customWidth="1"/>
    <col min="16130" max="16130" width="18.140625" style="34" customWidth="1"/>
    <col min="16131" max="16142" width="6" style="34" customWidth="1"/>
    <col min="16143" max="16149" width="10.28515625" style="34" customWidth="1"/>
    <col min="16150" max="16152" width="9.140625" style="34" bestFit="1" customWidth="1"/>
    <col min="16153" max="16153" width="12.42578125" style="34" customWidth="1"/>
    <col min="16154" max="16384" width="8.85546875" style="34"/>
  </cols>
  <sheetData>
    <row r="1" spans="1:16" ht="15.75">
      <c r="A1" s="29" t="s">
        <v>10</v>
      </c>
      <c r="B1" s="30">
        <f>INHOADON!G15</f>
        <v>0</v>
      </c>
    </row>
    <row r="2" spans="1:16" ht="15.75">
      <c r="A2" s="29" t="s">
        <v>11</v>
      </c>
      <c r="B2" s="35" t="str">
        <f>B13</f>
        <v>Kđồng.</v>
      </c>
    </row>
    <row r="3" spans="1:16" ht="15.75">
      <c r="A3" s="29" t="s">
        <v>12</v>
      </c>
      <c r="B3" s="36" t="str">
        <f>B13&amp;" đồng./."</f>
        <v>Kđồng. đồng./.</v>
      </c>
    </row>
    <row r="7" spans="1:16">
      <c r="A7" s="34" t="s">
        <v>13</v>
      </c>
    </row>
    <row r="8" spans="1:16">
      <c r="A8" s="37">
        <f>B1</f>
        <v>0</v>
      </c>
      <c r="B8" s="38" t="str">
        <f>RIGHT("000000000000"&amp;ROUND(A8,0),12)</f>
        <v>000000000000</v>
      </c>
      <c r="C8" s="39">
        <v>1</v>
      </c>
      <c r="D8" s="39">
        <v>2</v>
      </c>
      <c r="E8" s="39">
        <v>3</v>
      </c>
      <c r="F8" s="40">
        <v>4</v>
      </c>
      <c r="G8" s="40">
        <v>5</v>
      </c>
      <c r="H8" s="40">
        <v>6</v>
      </c>
      <c r="I8" s="41">
        <v>7</v>
      </c>
      <c r="J8" s="41">
        <v>8</v>
      </c>
      <c r="K8" s="41">
        <v>9</v>
      </c>
      <c r="L8" s="42">
        <v>10</v>
      </c>
      <c r="M8" s="42">
        <v>11</v>
      </c>
      <c r="N8" s="42">
        <v>12</v>
      </c>
    </row>
    <row r="9" spans="1:16">
      <c r="A9" s="43"/>
      <c r="B9" s="44"/>
      <c r="C9" s="45">
        <f>VALUE(MID(B8,C8,1))</f>
        <v>0</v>
      </c>
      <c r="D9" s="45">
        <f>VALUE(MID(B8,D8,1))</f>
        <v>0</v>
      </c>
      <c r="E9" s="45">
        <f>VALUE(MID(B8,E8,1))</f>
        <v>0</v>
      </c>
      <c r="F9" s="46">
        <f>VALUE(MID(B8,F8,1))</f>
        <v>0</v>
      </c>
      <c r="G9" s="46">
        <f>VALUE(MID(B8,G8,1))</f>
        <v>0</v>
      </c>
      <c r="H9" s="46">
        <f>VALUE(MID(B8,H8,1))</f>
        <v>0</v>
      </c>
      <c r="I9" s="47">
        <f>VALUE(MID(B8,I8,1))</f>
        <v>0</v>
      </c>
      <c r="J9" s="47">
        <f>VALUE(MID(B8,J8,1))</f>
        <v>0</v>
      </c>
      <c r="K9" s="47">
        <f>VALUE(MID(B8,K8,1))</f>
        <v>0</v>
      </c>
      <c r="L9" s="48">
        <f>VALUE(MID(B8,L8,1))</f>
        <v>0</v>
      </c>
      <c r="M9" s="48">
        <f>VALUE(MID(B8,M8,1))</f>
        <v>0</v>
      </c>
      <c r="N9" s="48">
        <f>VALUE(MID(B8,N8,1))</f>
        <v>0</v>
      </c>
      <c r="P9" s="34" t="s">
        <v>0</v>
      </c>
    </row>
    <row r="10" spans="1:16">
      <c r="A10" s="43"/>
      <c r="B10" s="44"/>
      <c r="C10" s="45">
        <f>SUM(C9:C9)</f>
        <v>0</v>
      </c>
      <c r="D10" s="45">
        <f>SUM(C9:D9)</f>
        <v>0</v>
      </c>
      <c r="E10" s="45">
        <f>SUM(C9:E9)</f>
        <v>0</v>
      </c>
      <c r="F10" s="46">
        <f>SUM(F9:F9)</f>
        <v>0</v>
      </c>
      <c r="G10" s="46">
        <f>SUM(F9:G9)</f>
        <v>0</v>
      </c>
      <c r="H10" s="46">
        <f>SUM(F9:H9)</f>
        <v>0</v>
      </c>
      <c r="I10" s="47">
        <f>SUM(I9:I9)</f>
        <v>0</v>
      </c>
      <c r="J10" s="47">
        <f>SUM(I9:J9)</f>
        <v>0</v>
      </c>
      <c r="K10" s="47">
        <f>SUM(I9:K9)</f>
        <v>0</v>
      </c>
      <c r="L10" s="48">
        <f>SUM(L9:L9)</f>
        <v>0</v>
      </c>
      <c r="M10" s="48">
        <f>SUM(L9:M9)</f>
        <v>0</v>
      </c>
      <c r="N10" s="48">
        <f>SUM(L9:N9)</f>
        <v>0</v>
      </c>
    </row>
    <row r="11" spans="1:16">
      <c r="A11" s="49"/>
      <c r="B11" s="44"/>
      <c r="C11" s="50" t="str">
        <f>IF(C9=0,"",CHOOSE(C9,"một","hai","ba","bốn","năm","sáu","bảy","tám","chín"))</f>
        <v/>
      </c>
      <c r="D11" s="50" t="str">
        <f>IF(D9=0,IF(AND(C9&lt;&gt;0,E9&lt;&gt;0),"lẻ",""),CHOOSE(D9,"mười","hai","ba","bốn","năm","sáu","bảy","tám","chín"))</f>
        <v/>
      </c>
      <c r="E11" s="50" t="str">
        <f>IF(E9=0,"",CHOOSE(E9,IF(D9&gt;1,"mốt","một"),"hai","ba","bốn",IF(D9=0,"năm","lăm"),"sáu","bảy","tám","chín"))</f>
        <v/>
      </c>
      <c r="F11" s="51" t="str">
        <f>IF(F9=0,"",CHOOSE(F9,"một","hai","ba","bốn","năm","sáu","bảy","tám","chín"))</f>
        <v/>
      </c>
      <c r="G11" s="51" t="str">
        <f>IF(G9=0,IF(AND(F9&lt;&gt;0,H9&lt;&gt;0),"lẻ",""),CHOOSE(G9,"mười","hai","ba","bốn","năm","sáu","bảy","tám","chín"))</f>
        <v/>
      </c>
      <c r="H11" s="51" t="str">
        <f>IF(H9=0,"",CHOOSE(H9,IF(G9&gt;1,"mốt","một"),"hai","ba","bốn",IF(G9=0,"năm","lăm"),"sáu","bảy","tám","chín"))</f>
        <v/>
      </c>
      <c r="I11" s="52" t="str">
        <f>IF(I9=0,IF(AND(I9=0,J9=0),"",IF(AND(G9=0,H9=0,J9&lt;&gt;0),"","không trăm")),CHOOSE(I9,"một","hai","ba","bốn","năm","sáu","bảy","tám","chín"))</f>
        <v/>
      </c>
      <c r="J11" s="52" t="str">
        <f>IF(J9=0,IF(AND(J9=0,K9=0),"",IF(AND(H9=0,I9=0,K9&lt;&gt;0),"","lẻ")),CHOOSE(J9,"mười","hai","ba","bốn","năm","sáu","bảy","tám","chín"))</f>
        <v/>
      </c>
      <c r="K11" s="52" t="str">
        <f>IF(K9=0,"",CHOOSE(K9,IF(J9&gt;1,"mốt","một"),"hai","ba","bốn",IF(J9=0,"năm","lăm"),"sáu","bảy","tám","chín"))</f>
        <v/>
      </c>
      <c r="L11" s="53" t="str">
        <f>IF(L9=0,IF(AND(L9=0,M9=0),"",IF(AND(J9=0,K9=0,M9&lt;&gt;0),"","không trăm")),CHOOSE(L9,"một","hai","ba","bốn","năm","sáu","bảy","tám","chín"))</f>
        <v/>
      </c>
      <c r="M11" s="53" t="str">
        <f>IF(M9=0,IF(AND(M9=0,N9=0),"",IF(AND(K9=0,L9=0,N9&lt;&gt;0),"","lẻ")),CHOOSE(M9,"mười","hai","ba","bốn","năm","sáu","bảy","tám","chín"))</f>
        <v/>
      </c>
      <c r="N11" s="53" t="str">
        <f>IF(N9=0,"",CHOOSE(N9,IF(M9&gt;1,"mốt","một"),"hai","ba","bốn",IF(M9=0,"năm","lăm"),"sáu","bảy","tám","chín"))</f>
        <v/>
      </c>
    </row>
    <row r="12" spans="1:16">
      <c r="A12" s="43"/>
      <c r="B12" s="44"/>
      <c r="C12" s="54" t="str">
        <f>IF(C9=0,"","trăm")</f>
        <v/>
      </c>
      <c r="D12" s="54" t="str">
        <f>IF(D9=0,"",IF(D9=1,"","mươi"))</f>
        <v/>
      </c>
      <c r="E12" s="54" t="str">
        <f>IF(AND(E9=0,E10=0),"","tỷ")</f>
        <v/>
      </c>
      <c r="F12" s="55" t="str">
        <f>IF(F9=0,"","trăm")</f>
        <v/>
      </c>
      <c r="G12" s="55" t="str">
        <f>IF(G9=0,"",IF(G9=1,"","mươi"))</f>
        <v/>
      </c>
      <c r="H12" s="55" t="str">
        <f>IF(AND(H9=0,H10=0),"","triệu")</f>
        <v/>
      </c>
      <c r="I12" s="56" t="str">
        <f>IF(I9=0,"","trăm")</f>
        <v/>
      </c>
      <c r="J12" s="56" t="str">
        <f>IF(J9=0,"",IF(J9=1,"","mươi"))</f>
        <v/>
      </c>
      <c r="K12" s="56" t="str">
        <f>IF(AND(K9=0,K10=0),"","ngàn")</f>
        <v/>
      </c>
      <c r="L12" s="57" t="str">
        <f>IF(L9=0,"","trăm")</f>
        <v/>
      </c>
      <c r="M12" s="57" t="str">
        <f>IF(M9=0,"",IF(M9=1,"","mươi"))</f>
        <v/>
      </c>
      <c r="N12" s="57"/>
      <c r="P12" s="34" t="s">
        <v>0</v>
      </c>
    </row>
    <row r="13" spans="1:16">
      <c r="A13" s="43"/>
      <c r="B13" s="58" t="str">
        <f>UPPER(LEFT(TRIM(IF(A8=0,"không đồng.",C11&amp;" "&amp;C12&amp;" "&amp;D11&amp;" "&amp;D12&amp;" "&amp;E11&amp;" "&amp;E12&amp;" "&amp;F11&amp;" "&amp;F12&amp;" "&amp;G11&amp;" "&amp;G12&amp;" "&amp;H11&amp;" "&amp;H12&amp;" "&amp;I11&amp;" "&amp;I12&amp;" "&amp;J11&amp;" "&amp;J12&amp;" "&amp;K11&amp;" "&amp;K12&amp;" "&amp;L11&amp;" "&amp;L12&amp;" "&amp;M11&amp;" "&amp;M12&amp;" "&amp;N11&amp;" "&amp;N12)),1))&amp;RIGHT(TRIM(IF(A8=0,"không đồng.",C11&amp;" "&amp;C12&amp;" "&amp;D11&amp;" "&amp;D12&amp;" "&amp;E11&amp;" "&amp;E12&amp;" "&amp;F11&amp;" "&amp;F12&amp;" "&amp;G11&amp;" "&amp;G12&amp;" "&amp;H11&amp;" "&amp;H12&amp;" "&amp;I11&amp;" "&amp;I12&amp;" "&amp;J11&amp;" "&amp;J12&amp;" "&amp;K11&amp;" "&amp;K12&amp;" "&amp;L11&amp;" "&amp;L12&amp;" "&amp;M11&amp;" "&amp;M12&amp;" "&amp;N11&amp;" "&amp;N12)),LEN(TRIM(IF(A8=0,"không.",C11&amp;" "&amp;C12&amp;" "&amp;D11&amp;" "&amp;D12&amp;" "&amp;E11&amp;" "&amp;E12&amp;" "&amp;F11&amp;" "&amp;F12&amp;" "&amp;G11&amp;" "&amp;G12&amp;" "&amp;H11&amp;" "&amp;H12&amp;" "&amp;I11&amp;" "&amp;I12&amp;" "&amp;J11&amp;" "&amp;J12&amp;" "&amp;K11&amp;" "&amp;K12&amp;" "&amp;L11&amp;" "&amp;L12&amp;" "&amp;M11&amp;" "&amp;M12&amp;" "&amp;N11&amp;" "&amp;N12)))-1)</f>
        <v>Kđồng.</v>
      </c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</row>
    <row r="15" spans="1:16">
      <c r="J15" s="60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C0FF-8BA9-4DE3-B56D-7CEAB9D1E8D2}">
  <sheetPr codeName="Sheet12">
    <tabColor rgb="FFFF0000"/>
    <pageSetUpPr fitToPage="1"/>
  </sheetPr>
  <dimension ref="A1:R30"/>
  <sheetViews>
    <sheetView tabSelected="1" topLeftCell="A15" zoomScale="84" zoomScaleNormal="84" workbookViewId="0">
      <selection activeCell="B23" sqref="B23"/>
    </sheetView>
  </sheetViews>
  <sheetFormatPr defaultColWidth="9.140625" defaultRowHeight="14.25"/>
  <cols>
    <col min="1" max="1" width="6.85546875" style="1" customWidth="1"/>
    <col min="2" max="2" width="13.5703125" style="1" customWidth="1"/>
    <col min="3" max="3" width="32.7109375" style="1" customWidth="1"/>
    <col min="4" max="4" width="5.5703125" style="2" customWidth="1"/>
    <col min="5" max="5" width="10.42578125" style="3" customWidth="1"/>
    <col min="6" max="6" width="9.85546875" style="4" customWidth="1"/>
    <col min="7" max="7" width="13.85546875" style="1" customWidth="1"/>
    <col min="8" max="8" width="1.7109375" style="1" customWidth="1"/>
    <col min="9" max="16384" width="9.140625" style="1"/>
  </cols>
  <sheetData>
    <row r="1" spans="2:18" ht="15" customHeight="1"/>
    <row r="2" spans="2:18">
      <c r="D2" s="5"/>
      <c r="E2" s="5"/>
      <c r="F2" s="5"/>
      <c r="G2" s="5"/>
      <c r="J2" s="1">
        <v>0</v>
      </c>
    </row>
    <row r="3" spans="2:18" ht="23.25" customHeight="1">
      <c r="E3" s="6"/>
      <c r="J3" s="1" t="s">
        <v>0</v>
      </c>
    </row>
    <row r="4" spans="2:18" ht="3.75" customHeight="1">
      <c r="B4" s="7"/>
      <c r="C4" s="8"/>
      <c r="E4" s="9"/>
      <c r="F4" s="10"/>
      <c r="G4" s="11"/>
    </row>
    <row r="5" spans="2:18" ht="18.75" customHeight="1">
      <c r="D5" s="1"/>
      <c r="F5" s="1"/>
      <c r="G5" s="12"/>
    </row>
    <row r="6" spans="2:18" ht="18" customHeight="1">
      <c r="D6" s="1"/>
      <c r="F6" s="13" t="s">
        <v>9</v>
      </c>
      <c r="G6" s="13"/>
    </row>
    <row r="7" spans="2:18" ht="15" customHeight="1">
      <c r="B7" s="14"/>
      <c r="C7" s="14"/>
      <c r="D7" s="14"/>
      <c r="E7" s="14"/>
      <c r="F7" s="14"/>
      <c r="G7" s="14"/>
    </row>
    <row r="8" spans="2:18" ht="15" customHeight="1">
      <c r="B8" s="15" t="s">
        <v>14</v>
      </c>
      <c r="C8" s="15"/>
      <c r="D8" s="15"/>
      <c r="E8" s="15"/>
      <c r="F8" s="16"/>
      <c r="G8" s="2"/>
      <c r="H8" s="6"/>
    </row>
    <row r="9" spans="2:18" s="17" customFormat="1" ht="21" customHeight="1">
      <c r="C9" s="17" t="s">
        <v>0</v>
      </c>
      <c r="E9" s="9"/>
      <c r="F9" s="18"/>
      <c r="H9" s="1"/>
      <c r="I9" s="1"/>
      <c r="J9" s="1"/>
      <c r="K9" s="1" t="s">
        <v>1</v>
      </c>
      <c r="L9" s="1"/>
      <c r="M9" s="1"/>
      <c r="N9" s="1"/>
      <c r="O9" s="1"/>
      <c r="P9" s="1"/>
      <c r="Q9" s="1"/>
      <c r="R9" s="1"/>
    </row>
    <row r="10" spans="2:18" ht="18" customHeight="1">
      <c r="D10" s="19"/>
      <c r="E10" s="20"/>
      <c r="F10" s="21"/>
      <c r="G10" s="22"/>
    </row>
    <row r="11" spans="2:18" ht="18" customHeight="1">
      <c r="B11" s="1" t="s">
        <v>9</v>
      </c>
      <c r="C11" s="1" t="s">
        <v>9</v>
      </c>
      <c r="D11" s="19" t="s">
        <v>9</v>
      </c>
      <c r="E11" s="23" t="s">
        <v>9</v>
      </c>
      <c r="F11" s="21" t="s">
        <v>9</v>
      </c>
      <c r="G11" s="22"/>
    </row>
    <row r="12" spans="2:18" ht="18.95" customHeight="1">
      <c r="B12" s="1" t="s">
        <v>9</v>
      </c>
      <c r="C12" s="1" t="s">
        <v>9</v>
      </c>
      <c r="D12" s="19" t="s">
        <v>9</v>
      </c>
      <c r="E12" s="23" t="s">
        <v>9</v>
      </c>
      <c r="F12" s="21" t="s">
        <v>9</v>
      </c>
      <c r="G12" s="22" t="s">
        <v>9</v>
      </c>
    </row>
    <row r="13" spans="2:18" ht="18" customHeight="1">
      <c r="B13" s="1" t="s">
        <v>9</v>
      </c>
      <c r="C13" s="1" t="s">
        <v>9</v>
      </c>
      <c r="D13" s="19" t="s">
        <v>9</v>
      </c>
      <c r="E13" s="23" t="s">
        <v>9</v>
      </c>
      <c r="F13" s="21" t="s">
        <v>9</v>
      </c>
      <c r="G13" s="22" t="s">
        <v>9</v>
      </c>
    </row>
    <row r="14" spans="2:18" ht="18" customHeight="1">
      <c r="B14" s="1" t="s">
        <v>9</v>
      </c>
      <c r="C14" s="1" t="s">
        <v>9</v>
      </c>
      <c r="D14" s="19" t="s">
        <v>9</v>
      </c>
      <c r="E14" s="23" t="s">
        <v>9</v>
      </c>
      <c r="F14" s="21" t="s">
        <v>9</v>
      </c>
      <c r="G14" s="22" t="s">
        <v>9</v>
      </c>
    </row>
    <row r="15" spans="2:18" ht="20.25" customHeight="1">
      <c r="B15" s="1" t="s">
        <v>9</v>
      </c>
      <c r="C15" s="17"/>
      <c r="D15" s="19">
        <f>SUM(D10:D14)</f>
        <v>0</v>
      </c>
      <c r="E15" s="19">
        <f>SUM(E10:E14)</f>
        <v>0</v>
      </c>
      <c r="F15" s="21" t="s">
        <v>9</v>
      </c>
      <c r="G15" s="19">
        <f>SUM(G10:G14)</f>
        <v>0</v>
      </c>
      <c r="K15" s="1" t="s">
        <v>0</v>
      </c>
    </row>
    <row r="16" spans="2:18" ht="23.1" customHeight="1">
      <c r="B16" s="24" t="s">
        <v>2</v>
      </c>
      <c r="C16" s="1" t="str">
        <f>change!B3</f>
        <v>Kđồng. đồng./.</v>
      </c>
      <c r="D16" s="1"/>
      <c r="E16" s="1"/>
      <c r="F16" s="1"/>
    </row>
    <row r="17" spans="1:11" ht="18" customHeight="1">
      <c r="B17" s="24" t="s">
        <v>3</v>
      </c>
      <c r="F17" s="25"/>
      <c r="G17" s="2"/>
      <c r="K17" s="2"/>
    </row>
    <row r="22" spans="1:11" ht="15">
      <c r="A22" s="8"/>
      <c r="B22" s="26" t="s">
        <v>15</v>
      </c>
      <c r="D22" s="2" t="s">
        <v>5</v>
      </c>
    </row>
    <row r="23" spans="1:11" ht="15">
      <c r="B23" s="8"/>
      <c r="C23" s="27" t="s">
        <v>6</v>
      </c>
    </row>
    <row r="27" spans="1:11" ht="15">
      <c r="C27" s="26"/>
    </row>
    <row r="28" spans="1:11" ht="15">
      <c r="C28" s="26" t="s">
        <v>7</v>
      </c>
      <c r="D28" s="28"/>
    </row>
    <row r="29" spans="1:11" ht="15">
      <c r="C29" s="26" t="s">
        <v>4</v>
      </c>
    </row>
    <row r="30" spans="1:11">
      <c r="C30" s="1" t="s">
        <v>8</v>
      </c>
    </row>
  </sheetData>
  <pageMargins left="0" right="0" top="0" bottom="0" header="0" footer="0"/>
  <pageSetup paperSize="15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change</vt:lpstr>
      <vt:lpstr>INHOADON</vt:lpstr>
      <vt:lpstr>INHOADON!Print_Area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Châu Phan</dc:creator>
  <cp:lastModifiedBy>Châu Phan</cp:lastModifiedBy>
  <cp:lastPrinted>2026-06-24T02:31:01Z</cp:lastPrinted>
  <dcterms:created xsi:type="dcterms:W3CDTF">2026-06-24T02:30:11Z</dcterms:created>
  <dcterms:modified xsi:type="dcterms:W3CDTF">2026-06-26T01:42:25Z</dcterms:modified>
</cp:coreProperties>
</file>